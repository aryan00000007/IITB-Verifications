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0B9B869-2EC6-4E9E-AAA5-3A8719564852}" xr6:coauthVersionLast="47" xr6:coauthVersionMax="47" xr10:uidLastSave="{00000000-0000-0000-0000-000000000000}"/>
  <bookViews>
    <workbookView xWindow="60" yWindow="60" windowWidth="18156" windowHeight="12300" xr2:uid="{EB43BA7B-507A-49A5-8BA2-066BDE77B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5" i="1" l="1"/>
  <c r="E51" i="1" s="1"/>
  <c r="E35" i="1"/>
  <c r="E79" i="1"/>
  <c r="E77" i="1"/>
  <c r="E76" i="1"/>
  <c r="E65" i="1"/>
  <c r="E61" i="1"/>
  <c r="E63" i="1" s="1"/>
  <c r="E57" i="1"/>
  <c r="G57" i="1" s="1"/>
  <c r="E34" i="1"/>
  <c r="E36" i="1"/>
  <c r="E46" i="1" l="1"/>
  <c r="E78" i="1"/>
  <c r="E80" i="1" s="1"/>
  <c r="E64" i="1"/>
  <c r="E71" i="1" s="1"/>
  <c r="E37" i="1"/>
  <c r="E70" i="1" l="1"/>
</calcChain>
</file>

<file path=xl/sharedStrings.xml><?xml version="1.0" encoding="utf-8"?>
<sst xmlns="http://schemas.openxmlformats.org/spreadsheetml/2006/main" count="84" uniqueCount="68">
  <si>
    <t>UPFLOW ANAEROBIC SLUDGE BLANKET (UASB) DESIGN CALCULATIONS - SI UNITS</t>
  </si>
  <si>
    <t>1. User Input</t>
  </si>
  <si>
    <t>a) Wastewater Characteristics</t>
  </si>
  <si>
    <t>mg/L</t>
  </si>
  <si>
    <t>Sulphate =</t>
  </si>
  <si>
    <r>
      <t>Influent Flow rate,</t>
    </r>
    <r>
      <rPr>
        <i/>
        <sz val="14"/>
        <color theme="1"/>
        <rFont val="Calibri"/>
        <family val="2"/>
        <scheme val="minor"/>
      </rPr>
      <t xml:space="preserve"> </t>
    </r>
    <r>
      <rPr>
        <b/>
        <i/>
        <sz val="14"/>
        <color theme="1"/>
        <rFont val="Calibri"/>
        <family val="2"/>
        <scheme val="minor"/>
      </rPr>
      <t>Q</t>
    </r>
    <r>
      <rPr>
        <b/>
        <i/>
        <vertAlign val="subscript"/>
        <sz val="14"/>
        <color theme="1"/>
        <rFont val="Calibri"/>
        <family val="2"/>
        <scheme val="minor"/>
      </rPr>
      <t>avg</t>
    </r>
    <r>
      <rPr>
        <sz val="14"/>
        <color theme="1"/>
        <rFont val="Calibri"/>
        <family val="2"/>
        <scheme val="minor"/>
      </rPr>
      <t xml:space="preserve"> =</t>
    </r>
  </si>
  <si>
    <r>
      <t>m</t>
    </r>
    <r>
      <rPr>
        <vertAlign val="superscript"/>
        <sz val="14"/>
        <color theme="1"/>
        <rFont val="Calibri"/>
        <family val="2"/>
        <scheme val="minor"/>
      </rPr>
      <t>3</t>
    </r>
    <r>
      <rPr>
        <sz val="14"/>
        <color theme="1"/>
        <rFont val="Calibri"/>
        <family val="2"/>
        <scheme val="minor"/>
      </rPr>
      <t>/d</t>
    </r>
  </si>
  <si>
    <r>
      <t xml:space="preserve">Influent </t>
    </r>
    <r>
      <rPr>
        <b/>
        <sz val="14"/>
        <color theme="1"/>
        <rFont val="Calibri"/>
        <family val="2"/>
        <scheme val="minor"/>
      </rPr>
      <t>TSS</t>
    </r>
    <r>
      <rPr>
        <sz val="14"/>
        <color theme="1"/>
        <rFont val="Calibri"/>
        <family val="2"/>
        <scheme val="minor"/>
      </rPr>
      <t xml:space="preserve"> =</t>
    </r>
  </si>
  <si>
    <r>
      <t xml:space="preserve">Influent </t>
    </r>
    <r>
      <rPr>
        <b/>
        <i/>
        <sz val="14"/>
        <color theme="1"/>
        <rFont val="Calibri"/>
        <family val="2"/>
        <scheme val="minor"/>
      </rPr>
      <t xml:space="preserve">COD </t>
    </r>
    <r>
      <rPr>
        <sz val="14"/>
        <color theme="1"/>
        <rFont val="Calibri"/>
        <family val="2"/>
        <scheme val="minor"/>
      </rPr>
      <t>=</t>
    </r>
  </si>
  <si>
    <r>
      <t xml:space="preserve">Influent </t>
    </r>
    <r>
      <rPr>
        <b/>
        <sz val="14"/>
        <color theme="1"/>
        <rFont val="Calibri"/>
        <family val="2"/>
        <scheme val="minor"/>
      </rPr>
      <t>VSS</t>
    </r>
    <r>
      <rPr>
        <sz val="14"/>
        <color theme="1"/>
        <rFont val="Calibri"/>
        <family val="2"/>
        <scheme val="minor"/>
      </rPr>
      <t xml:space="preserve"> =</t>
    </r>
  </si>
  <si>
    <r>
      <t xml:space="preserve">Influent </t>
    </r>
    <r>
      <rPr>
        <b/>
        <i/>
        <sz val="14"/>
        <color theme="1"/>
        <rFont val="Calibri"/>
        <family val="2"/>
        <scheme val="minor"/>
      </rPr>
      <t>BOD</t>
    </r>
    <r>
      <rPr>
        <sz val="14"/>
        <color theme="1"/>
        <rFont val="Calibri"/>
        <family val="2"/>
        <scheme val="minor"/>
      </rPr>
      <t xml:space="preserve"> =</t>
    </r>
  </si>
  <si>
    <r>
      <t xml:space="preserve">Temperature </t>
    </r>
    <r>
      <rPr>
        <b/>
        <sz val="14"/>
        <color theme="1"/>
        <rFont val="Calibri"/>
        <family val="2"/>
        <scheme val="minor"/>
      </rPr>
      <t>T</t>
    </r>
    <r>
      <rPr>
        <b/>
        <vertAlign val="subscript"/>
        <sz val="14"/>
        <color theme="1"/>
        <rFont val="Calibri"/>
        <family val="2"/>
        <scheme val="minor"/>
      </rPr>
      <t>i</t>
    </r>
    <r>
      <rPr>
        <sz val="14"/>
        <color theme="1"/>
        <rFont val="Calibri"/>
        <family val="2"/>
        <scheme val="minor"/>
      </rPr>
      <t xml:space="preserve"> =</t>
    </r>
  </si>
  <si>
    <t>°C</t>
  </si>
  <si>
    <t>(Temperature Range of 20° to 28°C)</t>
  </si>
  <si>
    <r>
      <t xml:space="preserve">Instructions for use: Enter Values in </t>
    </r>
    <r>
      <rPr>
        <i/>
        <sz val="18"/>
        <color rgb="FFFFFF93"/>
        <rFont val="Calibri"/>
        <family val="2"/>
        <scheme val="minor"/>
      </rPr>
      <t>Yellow</t>
    </r>
    <r>
      <rPr>
        <i/>
        <sz val="18"/>
        <color theme="1"/>
        <rFont val="Calibri"/>
        <family val="2"/>
        <scheme val="minor"/>
      </rPr>
      <t xml:space="preserve"> Box.</t>
    </r>
  </si>
  <si>
    <t>2. Calculations (done by the spreadsheet)</t>
  </si>
  <si>
    <t>a) Sludge Production</t>
  </si>
  <si>
    <t>VSS produced in BOD removal =</t>
  </si>
  <si>
    <t>Non-degradable residue =</t>
  </si>
  <si>
    <t>Ash received in inflow =</t>
  </si>
  <si>
    <t>Total Sludge produced =</t>
  </si>
  <si>
    <t>b) Calculation of SRT and HRT values</t>
  </si>
  <si>
    <t>days</t>
  </si>
  <si>
    <t>(enter an initial estimate)</t>
  </si>
  <si>
    <r>
      <t xml:space="preserve">Solids Retention Time, </t>
    </r>
    <r>
      <rPr>
        <b/>
        <sz val="14"/>
        <color theme="1"/>
        <rFont val="Calibri"/>
        <family val="2"/>
        <scheme val="minor"/>
      </rPr>
      <t>SRT</t>
    </r>
    <r>
      <rPr>
        <sz val="14"/>
        <color theme="1"/>
        <rFont val="Calibri"/>
        <family val="2"/>
        <scheme val="minor"/>
      </rPr>
      <t xml:space="preserve"> =</t>
    </r>
  </si>
  <si>
    <t>hrs at avg. flow</t>
  </si>
  <si>
    <t>hrs at peak flow</t>
  </si>
  <si>
    <r>
      <t xml:space="preserve">Calculated Hydraulic Ret. Time, </t>
    </r>
    <r>
      <rPr>
        <b/>
        <sz val="14"/>
        <color theme="1"/>
        <rFont val="Calibri"/>
        <family val="2"/>
        <scheme val="minor"/>
      </rPr>
      <t>HRT</t>
    </r>
    <r>
      <rPr>
        <sz val="14"/>
        <color theme="1"/>
        <rFont val="Calibri"/>
        <family val="2"/>
        <scheme val="minor"/>
      </rPr>
      <t xml:space="preserve"> =</t>
    </r>
  </si>
  <si>
    <t>c) Calculations of Upflow Velocity</t>
  </si>
  <si>
    <t>Upflow velocity at avg. flow =</t>
  </si>
  <si>
    <t>m/hr</t>
  </si>
  <si>
    <t>Upflow Velocity in consideration with retaining Flocculent sludge within UASB =</t>
  </si>
  <si>
    <t>Upflow Velocity at peak flow =</t>
  </si>
  <si>
    <t>Reactor area Required =</t>
  </si>
  <si>
    <t>d) Calculations of Reactor Dimensions</t>
  </si>
  <si>
    <t>Reactor Length =</t>
  </si>
  <si>
    <t>Total Reactor Height =</t>
  </si>
  <si>
    <t>Reactor width =</t>
  </si>
  <si>
    <t>m</t>
  </si>
  <si>
    <r>
      <t>m</t>
    </r>
    <r>
      <rPr>
        <vertAlign val="superscript"/>
        <sz val="14"/>
        <color theme="1"/>
        <rFont val="Calibri"/>
        <family val="2"/>
        <scheme val="minor"/>
      </rPr>
      <t>2</t>
    </r>
  </si>
  <si>
    <t>m (with 0.5m Freeboard)</t>
  </si>
  <si>
    <t>Check For Organic Loading</t>
  </si>
  <si>
    <t>Volumetric Organic loading =</t>
  </si>
  <si>
    <r>
      <t>kg COD/m</t>
    </r>
    <r>
      <rPr>
        <vertAlign val="superscript"/>
        <sz val="14"/>
        <color theme="1"/>
        <rFont val="Calibri"/>
        <family val="2"/>
        <scheme val="minor"/>
      </rPr>
      <t>3</t>
    </r>
    <r>
      <rPr>
        <sz val="14"/>
        <color theme="1"/>
        <rFont val="Calibri"/>
        <family val="2"/>
        <scheme val="minor"/>
      </rPr>
      <t>/d</t>
    </r>
  </si>
  <si>
    <t>Organic loading on sludge blanket =</t>
  </si>
  <si>
    <t>kg COD/kg VSS/d</t>
  </si>
  <si>
    <t>e) COD Removed and Methane Produced</t>
  </si>
  <si>
    <t>Total COD removed =</t>
  </si>
  <si>
    <t>kg/d</t>
  </si>
  <si>
    <t>COD consumed in Sulphate reduction =</t>
  </si>
  <si>
    <r>
      <t xml:space="preserve">Total methane produced at </t>
    </r>
    <r>
      <rPr>
        <b/>
        <sz val="14"/>
        <color theme="1"/>
        <rFont val="Calibri"/>
        <family val="2"/>
        <scheme val="minor"/>
      </rPr>
      <t>T</t>
    </r>
    <r>
      <rPr>
        <b/>
        <vertAlign val="subscript"/>
        <sz val="14"/>
        <color theme="1"/>
        <rFont val="Calibri"/>
        <family val="2"/>
        <scheme val="minor"/>
      </rPr>
      <t xml:space="preserve">i </t>
    </r>
    <r>
      <rPr>
        <sz val="14"/>
        <color theme="1"/>
        <rFont val="Calibri"/>
        <family val="2"/>
        <scheme val="minor"/>
      </rPr>
      <t>/day =</t>
    </r>
  </si>
  <si>
    <t>Methane leaving as dissolved in effluent =</t>
  </si>
  <si>
    <r>
      <t>m</t>
    </r>
    <r>
      <rPr>
        <vertAlign val="superscript"/>
        <sz val="14"/>
        <color theme="1"/>
        <rFont val="Calibri"/>
        <family val="2"/>
        <scheme val="minor"/>
      </rPr>
      <t>3</t>
    </r>
    <r>
      <rPr>
        <sz val="14"/>
        <color theme="1"/>
        <rFont val="Calibri"/>
        <family val="2"/>
        <scheme val="minor"/>
      </rPr>
      <t>/kg COD</t>
    </r>
  </si>
  <si>
    <t>Usable Methane =</t>
  </si>
  <si>
    <t>b) Coefficients and Design Parameters</t>
  </si>
  <si>
    <t>(g VSS cell/g VSS BOD decay)</t>
  </si>
  <si>
    <t>BOD removal efficiency fraction =</t>
  </si>
  <si>
    <t>Depth of sludge blanket =</t>
  </si>
  <si>
    <t>Avg. concentration of sludge in blanket =</t>
  </si>
  <si>
    <t>Overall depth of reactor required =</t>
  </si>
  <si>
    <t>Methane production at 0°C =</t>
  </si>
  <si>
    <t>Sulphate removal efficiency fraction =</t>
  </si>
  <si>
    <t>COD removal efficiency fraction =</t>
  </si>
  <si>
    <t>Effectiveness coefficient in SRT value =</t>
  </si>
  <si>
    <t>Residual Biomass fraction =</t>
  </si>
  <si>
    <r>
      <t>kg/m</t>
    </r>
    <r>
      <rPr>
        <vertAlign val="superscript"/>
        <sz val="14"/>
        <color theme="1"/>
        <rFont val="Calibri"/>
        <family val="2"/>
        <scheme val="minor"/>
      </rPr>
      <t>3</t>
    </r>
  </si>
  <si>
    <t>Non-degradable residue fraction =</t>
  </si>
  <si>
    <r>
      <rPr>
        <sz val="14"/>
        <color theme="1"/>
        <rFont val="Calibri"/>
        <family val="2"/>
        <scheme val="minor"/>
      </rPr>
      <t>m</t>
    </r>
    <r>
      <rPr>
        <vertAlign val="superscript"/>
        <sz val="14"/>
        <color theme="1"/>
        <rFont val="Calibri"/>
        <family val="2"/>
        <scheme val="minor"/>
      </rPr>
      <t>3</t>
    </r>
    <r>
      <rPr>
        <sz val="14"/>
        <color theme="1"/>
        <rFont val="Calibri"/>
        <family val="2"/>
        <scheme val="minor"/>
      </rPr>
      <t>/kg COD</t>
    </r>
    <r>
      <rPr>
        <sz val="11"/>
        <color theme="1"/>
        <rFont val="Calibri"/>
        <family val="2"/>
        <scheme val="minor"/>
      </rPr>
      <t xml:space="preserve"> (std.)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</si>
</sst>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vertAlign val="subscript"/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i/>
      <sz val="18"/>
      <color rgb="FFFFFF93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3"/>
        <bgColor indexed="64"/>
      </patternFill>
    </fill>
    <fill>
      <patternFill patternType="solid">
        <fgColor rgb="FF99FF6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5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 vertic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7" fillId="4" borderId="1" xfId="0" applyFont="1" applyFill="1" applyBorder="1"/>
    <xf numFmtId="0" fontId="7" fillId="4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00FF00"/>
      <color rgb="FF22EE75"/>
      <color rgb="FFFFF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8885-629B-4B24-98A4-F5E1735477DD}">
  <dimension ref="A1:O80"/>
  <sheetViews>
    <sheetView tabSelected="1" zoomScale="70" zoomScaleNormal="70" workbookViewId="0">
      <selection activeCell="P5" sqref="P5"/>
    </sheetView>
  </sheetViews>
  <sheetFormatPr defaultColWidth="12.77734375" defaultRowHeight="18" customHeight="1" x14ac:dyDescent="0.3"/>
  <cols>
    <col min="1" max="1" width="12.88671875" customWidth="1"/>
    <col min="2" max="4" width="14.77734375" customWidth="1"/>
    <col min="6" max="7" width="16.77734375" customWidth="1"/>
    <col min="8" max="8" width="17.21875" customWidth="1"/>
  </cols>
  <sheetData>
    <row r="1" spans="1:15" ht="18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18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4" spans="1:15" ht="18" customHeight="1" x14ac:dyDescent="0.3">
      <c r="A4" s="25" t="s">
        <v>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7" spans="1:15" ht="18" customHeight="1" x14ac:dyDescent="0.3">
      <c r="A7" s="34" t="s">
        <v>1</v>
      </c>
      <c r="B7" s="34"/>
      <c r="C7" s="2"/>
    </row>
    <row r="9" spans="1:15" ht="18" customHeight="1" x14ac:dyDescent="0.35">
      <c r="A9" s="21" t="s">
        <v>2</v>
      </c>
      <c r="B9" s="21"/>
      <c r="C9" s="21"/>
      <c r="D9" s="21"/>
      <c r="E9" s="4"/>
      <c r="F9" s="4"/>
      <c r="G9" s="4"/>
      <c r="H9" s="1"/>
      <c r="I9" s="4"/>
      <c r="J9" s="4"/>
      <c r="K9" s="4"/>
      <c r="L9" s="4"/>
    </row>
    <row r="10" spans="1:15" ht="18" customHeight="1" thickBot="1" x14ac:dyDescent="0.4">
      <c r="A10" s="4"/>
      <c r="B10" s="4"/>
      <c r="C10" s="4"/>
      <c r="D10" s="4"/>
      <c r="E10" s="4"/>
      <c r="F10" s="4"/>
      <c r="G10" s="4"/>
      <c r="H10" s="1"/>
      <c r="I10" s="4"/>
      <c r="J10" s="4"/>
      <c r="K10" s="4"/>
      <c r="L10" s="4"/>
    </row>
    <row r="11" spans="1:15" ht="18" customHeight="1" thickBot="1" x14ac:dyDescent="0.4">
      <c r="A11" s="19" t="s">
        <v>5</v>
      </c>
      <c r="B11" s="19"/>
      <c r="C11" s="19"/>
      <c r="D11" s="5">
        <v>10000</v>
      </c>
      <c r="E11" s="3" t="s">
        <v>6</v>
      </c>
      <c r="F11" s="4"/>
      <c r="G11" s="4"/>
      <c r="H11" s="6"/>
      <c r="I11" s="19" t="s">
        <v>7</v>
      </c>
      <c r="J11" s="20"/>
      <c r="K11" s="5">
        <v>395</v>
      </c>
      <c r="L11" s="3" t="s">
        <v>3</v>
      </c>
    </row>
    <row r="12" spans="1:15" ht="18" customHeight="1" thickBot="1" x14ac:dyDescent="0.4">
      <c r="A12" s="19" t="s">
        <v>8</v>
      </c>
      <c r="B12" s="19"/>
      <c r="C12" s="19"/>
      <c r="D12" s="5">
        <v>820</v>
      </c>
      <c r="E12" s="3" t="s">
        <v>3</v>
      </c>
      <c r="F12" s="4"/>
      <c r="G12" s="4"/>
      <c r="H12" s="6"/>
      <c r="I12" s="19" t="s">
        <v>9</v>
      </c>
      <c r="J12" s="20"/>
      <c r="K12" s="5">
        <v>270</v>
      </c>
      <c r="L12" s="3" t="s">
        <v>3</v>
      </c>
    </row>
    <row r="13" spans="1:15" ht="18" customHeight="1" thickBot="1" x14ac:dyDescent="0.4">
      <c r="A13" s="19" t="s">
        <v>10</v>
      </c>
      <c r="B13" s="19"/>
      <c r="C13" s="19"/>
      <c r="D13" s="8">
        <v>350</v>
      </c>
      <c r="E13" s="3" t="s">
        <v>3</v>
      </c>
      <c r="F13" s="4"/>
      <c r="G13" s="4"/>
      <c r="H13" s="6"/>
      <c r="I13" s="19" t="s">
        <v>4</v>
      </c>
      <c r="J13" s="20"/>
      <c r="K13" s="5">
        <v>105</v>
      </c>
      <c r="L13" s="3" t="s">
        <v>3</v>
      </c>
    </row>
    <row r="14" spans="1:15" ht="18" customHeight="1" thickBot="1" x14ac:dyDescent="0.35">
      <c r="A14" s="19" t="s">
        <v>11</v>
      </c>
      <c r="B14" s="19"/>
      <c r="C14" s="19"/>
      <c r="D14" s="8">
        <v>27</v>
      </c>
      <c r="E14" s="3" t="s">
        <v>12</v>
      </c>
      <c r="F14" s="27" t="s">
        <v>13</v>
      </c>
      <c r="G14" s="27"/>
      <c r="H14" s="14"/>
    </row>
    <row r="15" spans="1:15" ht="18" customHeight="1" x14ac:dyDescent="0.3">
      <c r="F15" s="7"/>
      <c r="G15" s="7"/>
      <c r="H15" s="7"/>
    </row>
    <row r="16" spans="1:15" ht="18" customHeight="1" x14ac:dyDescent="0.3">
      <c r="A16" s="21" t="s">
        <v>54</v>
      </c>
      <c r="B16" s="21"/>
      <c r="C16" s="21"/>
      <c r="D16" s="18"/>
      <c r="F16" s="7"/>
      <c r="G16" s="7"/>
      <c r="H16" s="7"/>
    </row>
    <row r="17" spans="1:9" ht="18" customHeight="1" thickBot="1" x14ac:dyDescent="0.35">
      <c r="F17" s="7"/>
      <c r="G17" s="7"/>
      <c r="H17" s="7"/>
    </row>
    <row r="18" spans="1:9" ht="18" customHeight="1" thickBot="1" x14ac:dyDescent="0.4">
      <c r="C18" s="6"/>
      <c r="D18" s="19" t="s">
        <v>56</v>
      </c>
      <c r="E18" s="19"/>
      <c r="F18" s="20"/>
      <c r="G18" s="16">
        <v>0.8</v>
      </c>
    </row>
    <row r="19" spans="1:9" ht="18" customHeight="1" thickBot="1" x14ac:dyDescent="0.4">
      <c r="C19" s="6"/>
      <c r="D19" s="19" t="s">
        <v>64</v>
      </c>
      <c r="E19" s="19"/>
      <c r="F19" s="20"/>
      <c r="G19" s="16">
        <v>0.1</v>
      </c>
      <c r="H19" s="22" t="s">
        <v>55</v>
      </c>
      <c r="I19" s="23"/>
    </row>
    <row r="20" spans="1:9" ht="18" customHeight="1" thickBot="1" x14ac:dyDescent="0.4">
      <c r="C20" s="6"/>
      <c r="D20" s="19" t="s">
        <v>66</v>
      </c>
      <c r="E20" s="19"/>
      <c r="F20" s="20"/>
      <c r="G20" s="16">
        <v>0.6</v>
      </c>
    </row>
    <row r="21" spans="1:9" ht="18" customHeight="1" thickBot="1" x14ac:dyDescent="0.4">
      <c r="C21" s="6"/>
      <c r="D21" s="19" t="s">
        <v>57</v>
      </c>
      <c r="E21" s="19"/>
      <c r="F21" s="20"/>
      <c r="G21" s="16">
        <v>2.2000000000000002</v>
      </c>
      <c r="H21" s="3" t="s">
        <v>38</v>
      </c>
    </row>
    <row r="22" spans="1:9" ht="18" customHeight="1" thickBot="1" x14ac:dyDescent="0.4">
      <c r="C22" s="6"/>
      <c r="D22" s="19" t="s">
        <v>63</v>
      </c>
      <c r="E22" s="19"/>
      <c r="F22" s="20"/>
      <c r="G22" s="16">
        <v>0.85</v>
      </c>
    </row>
    <row r="23" spans="1:9" ht="18" customHeight="1" thickBot="1" x14ac:dyDescent="0.4">
      <c r="C23" s="6"/>
      <c r="D23" s="19" t="s">
        <v>58</v>
      </c>
      <c r="E23" s="19"/>
      <c r="F23" s="20"/>
      <c r="G23" s="16">
        <v>70</v>
      </c>
      <c r="H23" s="3" t="s">
        <v>65</v>
      </c>
    </row>
    <row r="24" spans="1:9" ht="18" customHeight="1" thickBot="1" x14ac:dyDescent="0.4">
      <c r="C24" s="6"/>
      <c r="D24" s="19" t="s">
        <v>59</v>
      </c>
      <c r="E24" s="19"/>
      <c r="F24" s="20"/>
      <c r="G24" s="16">
        <v>5</v>
      </c>
      <c r="H24" s="3" t="s">
        <v>38</v>
      </c>
    </row>
    <row r="25" spans="1:9" ht="18" customHeight="1" thickBot="1" x14ac:dyDescent="0.35">
      <c r="C25" s="6"/>
      <c r="D25" s="19" t="s">
        <v>62</v>
      </c>
      <c r="E25" s="19"/>
      <c r="F25" s="20"/>
      <c r="G25" s="15">
        <v>0.8</v>
      </c>
    </row>
    <row r="26" spans="1:9" ht="18" customHeight="1" thickBot="1" x14ac:dyDescent="0.35">
      <c r="C26" s="6"/>
      <c r="D26" s="19" t="s">
        <v>61</v>
      </c>
      <c r="E26" s="19"/>
      <c r="F26" s="20"/>
      <c r="G26" s="17">
        <v>0.8</v>
      </c>
    </row>
    <row r="27" spans="1:9" ht="18" customHeight="1" thickBot="1" x14ac:dyDescent="0.4">
      <c r="C27" s="6"/>
      <c r="D27" s="19" t="s">
        <v>60</v>
      </c>
      <c r="E27" s="19"/>
      <c r="F27" s="20"/>
      <c r="G27" s="16">
        <v>0.35</v>
      </c>
      <c r="H27" s="9" t="s">
        <v>67</v>
      </c>
    </row>
    <row r="30" spans="1:9" ht="18" customHeight="1" x14ac:dyDescent="0.3">
      <c r="A30" s="34" t="s">
        <v>15</v>
      </c>
      <c r="B30" s="34"/>
      <c r="C30" s="34"/>
      <c r="D30" s="34"/>
    </row>
    <row r="32" spans="1:9" ht="18" customHeight="1" x14ac:dyDescent="0.3">
      <c r="A32" s="21" t="s">
        <v>16</v>
      </c>
      <c r="B32" s="21"/>
      <c r="C32" s="21"/>
    </row>
    <row r="33" spans="1:7" ht="18" customHeight="1" thickBot="1" x14ac:dyDescent="0.35"/>
    <row r="34" spans="1:7" ht="18" customHeight="1" thickBot="1" x14ac:dyDescent="0.35">
      <c r="B34" s="19" t="s">
        <v>17</v>
      </c>
      <c r="C34" s="19"/>
      <c r="D34" s="19"/>
      <c r="E34" s="10" t="str">
        <f>IMPRODUCT(D13,G18,G19)</f>
        <v>28</v>
      </c>
      <c r="F34" s="3" t="s">
        <v>3</v>
      </c>
    </row>
    <row r="35" spans="1:7" ht="18" customHeight="1" thickBot="1" x14ac:dyDescent="0.4">
      <c r="B35" s="19" t="s">
        <v>18</v>
      </c>
      <c r="C35" s="19"/>
      <c r="D35" s="19"/>
      <c r="E35" s="11">
        <f>K12*G20</f>
        <v>162</v>
      </c>
      <c r="F35" s="3" t="s">
        <v>3</v>
      </c>
    </row>
    <row r="36" spans="1:7" ht="18" customHeight="1" thickBot="1" x14ac:dyDescent="0.4">
      <c r="B36" s="19" t="s">
        <v>19</v>
      </c>
      <c r="C36" s="19"/>
      <c r="D36" s="19"/>
      <c r="E36" s="11" t="str">
        <f>IMSUB(K11,K12)</f>
        <v>125</v>
      </c>
      <c r="F36" s="3" t="s">
        <v>3</v>
      </c>
    </row>
    <row r="37" spans="1:7" ht="18" customHeight="1" thickBot="1" x14ac:dyDescent="0.35">
      <c r="B37" s="19" t="s">
        <v>20</v>
      </c>
      <c r="C37" s="19"/>
      <c r="D37" s="19"/>
      <c r="E37" s="10">
        <f>E34+E35+E36</f>
        <v>315</v>
      </c>
      <c r="F37" s="3" t="s">
        <v>3</v>
      </c>
    </row>
    <row r="40" spans="1:7" ht="18" customHeight="1" x14ac:dyDescent="0.3">
      <c r="A40" s="21" t="s">
        <v>21</v>
      </c>
      <c r="B40" s="21"/>
      <c r="C40" s="21"/>
      <c r="D40" s="21"/>
    </row>
    <row r="41" spans="1:7" ht="18" customHeight="1" thickBot="1" x14ac:dyDescent="0.35"/>
    <row r="42" spans="1:7" ht="18" customHeight="1" thickBot="1" x14ac:dyDescent="0.35">
      <c r="B42" s="19" t="s">
        <v>24</v>
      </c>
      <c r="C42" s="19"/>
      <c r="D42" s="19"/>
      <c r="E42" s="12">
        <v>30</v>
      </c>
      <c r="F42" s="3" t="s">
        <v>22</v>
      </c>
    </row>
    <row r="43" spans="1:7" ht="18" customHeight="1" x14ac:dyDescent="0.35">
      <c r="B43" s="33" t="s">
        <v>23</v>
      </c>
      <c r="C43" s="33"/>
      <c r="D43" s="33"/>
      <c r="E43" s="33"/>
      <c r="F43" s="13"/>
    </row>
    <row r="44" spans="1:7" ht="18" customHeight="1" thickBot="1" x14ac:dyDescent="0.35"/>
    <row r="45" spans="1:7" ht="18" customHeight="1" thickBot="1" x14ac:dyDescent="0.35">
      <c r="B45" s="19" t="s">
        <v>27</v>
      </c>
      <c r="C45" s="19"/>
      <c r="D45" s="19"/>
      <c r="E45" s="10" t="str">
        <f>FIXED((E42*E37/(G23*(G21/G24)*G22*(1000/24))),2)</f>
        <v>8.66</v>
      </c>
      <c r="F45" s="28" t="s">
        <v>25</v>
      </c>
      <c r="G45" s="29"/>
    </row>
    <row r="46" spans="1:7" ht="18" customHeight="1" thickBot="1" x14ac:dyDescent="0.35">
      <c r="E46" s="10">
        <f>IF((E45/2)&lt;2,"Value should be greater than 2",E45/2)</f>
        <v>4.33</v>
      </c>
      <c r="F46" s="28" t="s">
        <v>26</v>
      </c>
      <c r="G46" s="29"/>
    </row>
    <row r="48" spans="1:7" ht="18" customHeight="1" x14ac:dyDescent="0.3">
      <c r="B48" s="6"/>
      <c r="C48" s="6"/>
      <c r="D48" s="6"/>
    </row>
    <row r="49" spans="1:8" ht="18" customHeight="1" x14ac:dyDescent="0.3">
      <c r="A49" s="21" t="s">
        <v>28</v>
      </c>
      <c r="B49" s="21"/>
      <c r="C49" s="21"/>
    </row>
    <row r="50" spans="1:8" ht="18" customHeight="1" thickBot="1" x14ac:dyDescent="0.35"/>
    <row r="51" spans="1:8" ht="18" customHeight="1" thickBot="1" x14ac:dyDescent="0.35">
      <c r="B51" s="19" t="s">
        <v>29</v>
      </c>
      <c r="C51" s="19"/>
      <c r="D51" s="19"/>
      <c r="E51" s="10" t="str">
        <f>FIXED(G24/E45,3)</f>
        <v>0.577</v>
      </c>
      <c r="F51" s="6" t="s">
        <v>30</v>
      </c>
    </row>
    <row r="53" spans="1:8" ht="18" customHeight="1" x14ac:dyDescent="0.3">
      <c r="B53" s="30" t="s">
        <v>31</v>
      </c>
      <c r="C53" s="30"/>
      <c r="D53" s="30"/>
    </row>
    <row r="54" spans="1:8" ht="18" customHeight="1" thickBot="1" x14ac:dyDescent="0.35">
      <c r="B54" s="30"/>
      <c r="C54" s="30"/>
      <c r="D54" s="30"/>
    </row>
    <row r="55" spans="1:8" ht="18" customHeight="1" thickBot="1" x14ac:dyDescent="0.35">
      <c r="B55" s="30"/>
      <c r="C55" s="30"/>
      <c r="D55" s="30"/>
      <c r="E55" s="15">
        <v>0.5</v>
      </c>
      <c r="F55" s="6" t="s">
        <v>30</v>
      </c>
    </row>
    <row r="56" spans="1:8" ht="18" customHeight="1" thickBot="1" x14ac:dyDescent="0.35"/>
    <row r="57" spans="1:8" ht="18" customHeight="1" thickBot="1" x14ac:dyDescent="0.35">
      <c r="B57" s="19" t="s">
        <v>32</v>
      </c>
      <c r="C57" s="19"/>
      <c r="D57" s="19"/>
      <c r="E57" s="10">
        <f>E55*2</f>
        <v>1</v>
      </c>
      <c r="F57" s="3" t="s">
        <v>30</v>
      </c>
      <c r="G57" s="31" t="str">
        <f>IF(E57&gt;1,"Value not in range of 0.8 to 1",IF(E57&lt;0.8,"Value not in range of 0.8 to 1","OK"))</f>
        <v>OK</v>
      </c>
      <c r="H57" s="32"/>
    </row>
    <row r="59" spans="1:8" ht="18" customHeight="1" x14ac:dyDescent="0.3">
      <c r="A59" s="21" t="s">
        <v>34</v>
      </c>
      <c r="B59" s="21"/>
      <c r="C59" s="21"/>
    </row>
    <row r="60" spans="1:8" ht="18" customHeight="1" thickBot="1" x14ac:dyDescent="0.35"/>
    <row r="61" spans="1:8" ht="18" customHeight="1" thickBot="1" x14ac:dyDescent="0.35">
      <c r="B61" s="6"/>
      <c r="C61" s="19" t="s">
        <v>33</v>
      </c>
      <c r="D61" s="20"/>
      <c r="E61" s="10" t="str">
        <f>FIXED((D11/(E55*24)),0)</f>
        <v>833</v>
      </c>
      <c r="F61" s="3" t="s">
        <v>39</v>
      </c>
    </row>
    <row r="62" spans="1:8" ht="18" customHeight="1" thickBot="1" x14ac:dyDescent="0.35"/>
    <row r="63" spans="1:8" ht="18" customHeight="1" thickBot="1" x14ac:dyDescent="0.35">
      <c r="B63" s="6"/>
      <c r="C63" s="19" t="s">
        <v>37</v>
      </c>
      <c r="D63" s="20"/>
      <c r="E63" s="10" t="str">
        <f>FIXED(SQRT(E61/1.5),0)</f>
        <v>24</v>
      </c>
      <c r="F63" s="3" t="s">
        <v>38</v>
      </c>
    </row>
    <row r="64" spans="1:8" ht="18" customHeight="1" thickBot="1" x14ac:dyDescent="0.35">
      <c r="B64" s="6"/>
      <c r="C64" s="19" t="s">
        <v>35</v>
      </c>
      <c r="D64" s="20"/>
      <c r="E64" s="10" t="str">
        <f>FIXED(E61/E63,0)</f>
        <v>35</v>
      </c>
      <c r="F64" s="3" t="s">
        <v>38</v>
      </c>
    </row>
    <row r="65" spans="1:7" ht="18" customHeight="1" thickBot="1" x14ac:dyDescent="0.35">
      <c r="B65" s="6"/>
      <c r="C65" s="19" t="s">
        <v>36</v>
      </c>
      <c r="D65" s="20"/>
      <c r="E65" s="10">
        <f>0.5+G24</f>
        <v>5.5</v>
      </c>
      <c r="F65" s="28" t="s">
        <v>40</v>
      </c>
      <c r="G65" s="29"/>
    </row>
    <row r="68" spans="1:7" ht="18" customHeight="1" x14ac:dyDescent="0.3">
      <c r="A68" s="26" t="s">
        <v>41</v>
      </c>
      <c r="B68" s="26"/>
      <c r="C68" s="26"/>
    </row>
    <row r="69" spans="1:7" ht="18" customHeight="1" thickBot="1" x14ac:dyDescent="0.35"/>
    <row r="70" spans="1:7" ht="18.149999999999999" customHeight="1" thickBot="1" x14ac:dyDescent="0.35">
      <c r="B70" s="19" t="s">
        <v>42</v>
      </c>
      <c r="C70" s="19"/>
      <c r="D70" s="19"/>
      <c r="E70" s="10" t="str">
        <f>FIXED(D12*D11/(1000*G24*E63*E64),2)</f>
        <v>1.95</v>
      </c>
      <c r="F70" s="28" t="s">
        <v>43</v>
      </c>
      <c r="G70" s="29"/>
    </row>
    <row r="71" spans="1:7" ht="18.149999999999999" customHeight="1" thickBot="1" x14ac:dyDescent="0.35">
      <c r="B71" s="19" t="s">
        <v>44</v>
      </c>
      <c r="C71" s="19"/>
      <c r="D71" s="19"/>
      <c r="E71" s="10" t="str">
        <f>FIXED(D12*D11/(1000*G20*G23*G21*E64*E63),3)</f>
        <v>0.106</v>
      </c>
      <c r="F71" s="28" t="s">
        <v>45</v>
      </c>
      <c r="G71" s="29"/>
    </row>
    <row r="74" spans="1:7" ht="18" customHeight="1" x14ac:dyDescent="0.3">
      <c r="A74" s="21" t="s">
        <v>46</v>
      </c>
      <c r="B74" s="21"/>
      <c r="C74" s="21"/>
      <c r="D74" s="21"/>
    </row>
    <row r="75" spans="1:7" ht="18" customHeight="1" thickBot="1" x14ac:dyDescent="0.35"/>
    <row r="76" spans="1:7" ht="18" customHeight="1" thickBot="1" x14ac:dyDescent="0.35">
      <c r="B76" s="19" t="s">
        <v>47</v>
      </c>
      <c r="C76" s="19"/>
      <c r="D76" s="19"/>
      <c r="E76" s="10" t="str">
        <f>FIXED(G25*D12*D11/1000,0)</f>
        <v>6,560</v>
      </c>
      <c r="F76" s="3" t="s">
        <v>48</v>
      </c>
    </row>
    <row r="77" spans="1:7" ht="18" customHeight="1" thickBot="1" x14ac:dyDescent="0.35">
      <c r="B77" s="19" t="s">
        <v>49</v>
      </c>
      <c r="C77" s="19"/>
      <c r="D77" s="19"/>
      <c r="E77" s="10" t="str">
        <f>FIXED(0.67*G26*K13*D11/1000,1)</f>
        <v>562.8</v>
      </c>
      <c r="F77" s="3" t="s">
        <v>48</v>
      </c>
    </row>
    <row r="78" spans="1:7" ht="18" customHeight="1" thickBot="1" x14ac:dyDescent="0.35">
      <c r="B78" s="19" t="s">
        <v>50</v>
      </c>
      <c r="C78" s="19"/>
      <c r="D78" s="19"/>
      <c r="E78" s="10" t="str">
        <f>FIXED(G27*(E76-E77)*(273.15+D14)/273.15,2)</f>
        <v>2,306.50</v>
      </c>
      <c r="F78" s="3" t="s">
        <v>6</v>
      </c>
    </row>
    <row r="79" spans="1:7" ht="18" customHeight="1" thickBot="1" x14ac:dyDescent="0.35">
      <c r="B79" s="19" t="s">
        <v>51</v>
      </c>
      <c r="C79" s="19"/>
      <c r="D79" s="19"/>
      <c r="E79" s="10">
        <f>0.028*D11</f>
        <v>280</v>
      </c>
      <c r="F79" s="3" t="s">
        <v>6</v>
      </c>
    </row>
    <row r="80" spans="1:7" ht="18" customHeight="1" thickBot="1" x14ac:dyDescent="0.35">
      <c r="B80" s="19" t="s">
        <v>53</v>
      </c>
      <c r="C80" s="19"/>
      <c r="D80" s="20"/>
      <c r="E80" s="10" t="str">
        <f>FIXED((E78-E79)/E76,3)</f>
        <v>0.309</v>
      </c>
      <c r="F80" s="3" t="s">
        <v>52</v>
      </c>
    </row>
  </sheetData>
  <mergeCells count="58">
    <mergeCell ref="A12:C12"/>
    <mergeCell ref="I12:J12"/>
    <mergeCell ref="A13:C13"/>
    <mergeCell ref="I13:J13"/>
    <mergeCell ref="A7:B7"/>
    <mergeCell ref="A9:D9"/>
    <mergeCell ref="A11:C11"/>
    <mergeCell ref="I11:J11"/>
    <mergeCell ref="A32:C32"/>
    <mergeCell ref="B34:D34"/>
    <mergeCell ref="B35:D35"/>
    <mergeCell ref="B36:D36"/>
    <mergeCell ref="A14:C14"/>
    <mergeCell ref="B71:D71"/>
    <mergeCell ref="F70:G70"/>
    <mergeCell ref="F71:G71"/>
    <mergeCell ref="D23:F23"/>
    <mergeCell ref="D24:F24"/>
    <mergeCell ref="D25:F25"/>
    <mergeCell ref="D26:F26"/>
    <mergeCell ref="F65:G65"/>
    <mergeCell ref="C63:D63"/>
    <mergeCell ref="C64:D64"/>
    <mergeCell ref="C65:D65"/>
    <mergeCell ref="C61:D61"/>
    <mergeCell ref="B53:D55"/>
    <mergeCell ref="B57:D57"/>
    <mergeCell ref="G57:H57"/>
    <mergeCell ref="A59:C59"/>
    <mergeCell ref="A1:O2"/>
    <mergeCell ref="A4:O4"/>
    <mergeCell ref="D22:F22"/>
    <mergeCell ref="A68:C68"/>
    <mergeCell ref="B70:D70"/>
    <mergeCell ref="F14:G14"/>
    <mergeCell ref="B45:D45"/>
    <mergeCell ref="F45:G45"/>
    <mergeCell ref="F46:G46"/>
    <mergeCell ref="A49:C49"/>
    <mergeCell ref="B51:D51"/>
    <mergeCell ref="B37:D37"/>
    <mergeCell ref="A40:D40"/>
    <mergeCell ref="B42:D42"/>
    <mergeCell ref="B43:E43"/>
    <mergeCell ref="A30:D30"/>
    <mergeCell ref="B78:D78"/>
    <mergeCell ref="B79:D79"/>
    <mergeCell ref="B80:D80"/>
    <mergeCell ref="A74:D74"/>
    <mergeCell ref="B76:D76"/>
    <mergeCell ref="B77:D77"/>
    <mergeCell ref="D27:F27"/>
    <mergeCell ref="A16:C16"/>
    <mergeCell ref="H19:I19"/>
    <mergeCell ref="D18:F18"/>
    <mergeCell ref="D19:F19"/>
    <mergeCell ref="D20:F20"/>
    <mergeCell ref="D21:F2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cp:lastModifiedBy>Aryan</cp:lastModifiedBy>
  <dcterms:created xsi:type="dcterms:W3CDTF">2023-05-21T07:31:20Z</dcterms:created>
  <dcterms:modified xsi:type="dcterms:W3CDTF">2023-05-25T05:02:48Z</dcterms:modified>
</cp:coreProperties>
</file>